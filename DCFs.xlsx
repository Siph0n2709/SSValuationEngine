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nivesh Kaundinya\Desktop\Special Projects\semiconductor-relative-value\"/>
    </mc:Choice>
  </mc:AlternateContent>
  <xr:revisionPtr revIDLastSave="0" documentId="13_ncr:1_{FEF16D65-BB47-4AA7-AA48-02FF327754D1}" xr6:coauthVersionLast="47" xr6:coauthVersionMax="47" xr10:uidLastSave="{00000000-0000-0000-0000-000000000000}"/>
  <bookViews>
    <workbookView xWindow="4260" yWindow="390" windowWidth="26610" windowHeight="18345" activeTab="1" xr2:uid="{29E5435A-21FB-4BAD-8CC5-4961AABBFAD0}"/>
  </bookViews>
  <sheets>
    <sheet name="QCOM" sheetId="1" r:id="rId1"/>
    <sheet name="ENT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3" i="1" l="1"/>
  <c r="B112" i="1"/>
  <c r="B111" i="1"/>
  <c r="B110" i="1"/>
  <c r="B109" i="1"/>
  <c r="B100" i="1"/>
  <c r="D105" i="1"/>
  <c r="E105" i="1"/>
  <c r="F105" i="1"/>
  <c r="G105" i="1"/>
  <c r="C105" i="1"/>
  <c r="B101" i="1"/>
  <c r="B99" i="1"/>
  <c r="B83" i="1"/>
  <c r="B59" i="1"/>
  <c r="B91" i="1"/>
  <c r="B92" i="1" s="1"/>
  <c r="B93" i="1" s="1"/>
  <c r="B94" i="1" s="1"/>
  <c r="B95" i="1" s="1"/>
  <c r="B96" i="1" s="1"/>
  <c r="B81" i="1"/>
  <c r="B80" i="1"/>
  <c r="D68" i="1"/>
  <c r="E68" i="1"/>
  <c r="F68" i="1"/>
  <c r="G68" i="1"/>
  <c r="C68" i="1"/>
  <c r="B61" i="1"/>
  <c r="B62" i="1" s="1"/>
  <c r="B55" i="1"/>
  <c r="B53" i="1"/>
  <c r="B52" i="1"/>
  <c r="A37" i="1"/>
  <c r="D24" i="1"/>
  <c r="C37" i="1" s="1"/>
  <c r="C48" i="1" s="1"/>
  <c r="E24" i="1"/>
  <c r="C24" i="1"/>
  <c r="C23" i="1"/>
  <c r="E23" i="1" s="1"/>
  <c r="C29" i="1"/>
  <c r="D42" i="1" s="1"/>
  <c r="C30" i="1"/>
  <c r="E42" i="1" s="1"/>
  <c r="C31" i="1"/>
  <c r="F42" i="1" s="1"/>
  <c r="C32" i="1"/>
  <c r="G42" i="1" s="1"/>
  <c r="C33" i="1"/>
  <c r="C34" i="1"/>
  <c r="B57" i="1" s="1"/>
  <c r="B58" i="1" s="1"/>
  <c r="C28" i="1"/>
  <c r="C42" i="1" s="1"/>
  <c r="C41" i="1" s="1"/>
  <c r="A36" i="1"/>
  <c r="A30" i="1"/>
  <c r="A31" i="1"/>
  <c r="A32" i="1"/>
  <c r="A33" i="1"/>
  <c r="A34" i="1"/>
  <c r="A35" i="1"/>
  <c r="A29" i="1"/>
  <c r="C22" i="1"/>
  <c r="D22" i="1" s="1"/>
  <c r="D21" i="1"/>
  <c r="E21" i="1" s="1"/>
  <c r="B63" i="1" l="1"/>
  <c r="B64" i="1"/>
  <c r="D23" i="1"/>
  <c r="C36" i="1" s="1"/>
  <c r="C46" i="1" s="1"/>
  <c r="C43" i="1"/>
  <c r="D41" i="1"/>
  <c r="D48" i="1" s="1"/>
  <c r="C35" i="1"/>
  <c r="C47" i="1" s="1"/>
  <c r="E22" i="1"/>
  <c r="D8" i="1"/>
  <c r="E8" i="1"/>
  <c r="F8" i="1"/>
  <c r="C8" i="1"/>
  <c r="D5" i="1"/>
  <c r="E5" i="1" s="1"/>
  <c r="F5" i="1" s="1"/>
  <c r="D46" i="1" l="1"/>
  <c r="D47" i="1"/>
  <c r="D43" i="1"/>
  <c r="E41" i="1"/>
  <c r="E48" i="1" s="1"/>
  <c r="C44" i="1"/>
  <c r="C45" i="1" s="1"/>
  <c r="C49" i="1" s="1"/>
  <c r="C69" i="1" s="1"/>
  <c r="C71" i="1" s="1"/>
  <c r="F41" i="1" l="1"/>
  <c r="F48" i="1" s="1"/>
  <c r="E43" i="1"/>
  <c r="E47" i="1"/>
  <c r="E46" i="1"/>
  <c r="D44" i="1"/>
  <c r="D45" i="1" s="1"/>
  <c r="D49" i="1" s="1"/>
  <c r="D69" i="1" s="1"/>
  <c r="D71" i="1" s="1"/>
  <c r="E44" i="1" l="1"/>
  <c r="E45" i="1" s="1"/>
  <c r="E49" i="1" s="1"/>
  <c r="E69" i="1" s="1"/>
  <c r="E71" i="1" s="1"/>
  <c r="G41" i="1"/>
  <c r="G48" i="1" s="1"/>
  <c r="F47" i="1"/>
  <c r="F43" i="1"/>
  <c r="F46" i="1"/>
  <c r="F44" i="1" l="1"/>
  <c r="F45" i="1" s="1"/>
  <c r="F49" i="1" s="1"/>
  <c r="F69" i="1" s="1"/>
  <c r="F71" i="1" s="1"/>
  <c r="G47" i="1"/>
  <c r="G43" i="1"/>
  <c r="G46" i="1"/>
  <c r="G44" i="1" l="1"/>
  <c r="G45" i="1" s="1"/>
  <c r="G49" i="1" s="1"/>
  <c r="G69" i="1" s="1"/>
  <c r="G91" i="1" l="1"/>
  <c r="G92" i="1"/>
  <c r="E96" i="1"/>
  <c r="G90" i="1"/>
  <c r="D93" i="1"/>
  <c r="E90" i="1"/>
  <c r="G93" i="1"/>
  <c r="D91" i="1"/>
  <c r="C90" i="1"/>
  <c r="D92" i="1"/>
  <c r="D94" i="1"/>
  <c r="E95" i="1"/>
  <c r="G94" i="1"/>
  <c r="G95" i="1"/>
  <c r="G96" i="1"/>
  <c r="F91" i="1"/>
  <c r="D95" i="1"/>
  <c r="D96" i="1"/>
  <c r="C93" i="1"/>
  <c r="C95" i="1"/>
  <c r="D90" i="1"/>
  <c r="F92" i="1"/>
  <c r="F93" i="1"/>
  <c r="C91" i="1"/>
  <c r="F94" i="1"/>
  <c r="C92" i="1"/>
  <c r="C94" i="1"/>
  <c r="C96" i="1"/>
  <c r="F90" i="1"/>
  <c r="F95" i="1"/>
  <c r="F96" i="1"/>
  <c r="E91" i="1"/>
  <c r="E92" i="1"/>
  <c r="E93" i="1"/>
  <c r="E94" i="1"/>
  <c r="B73" i="1"/>
  <c r="B74" i="1" s="1"/>
  <c r="G71" i="1"/>
  <c r="B75" i="1" s="1"/>
  <c r="B76" i="1" l="1"/>
  <c r="B79" i="1" s="1"/>
  <c r="B82" i="1" s="1"/>
  <c r="B84" i="1" s="1"/>
  <c r="B86" i="1" s="1"/>
  <c r="B77" i="1" l="1"/>
</calcChain>
</file>

<file path=xl/sharedStrings.xml><?xml version="1.0" encoding="utf-8"?>
<sst xmlns="http://schemas.openxmlformats.org/spreadsheetml/2006/main" count="85" uniqueCount="73">
  <si>
    <t>QUALCOMM (QCOM) - DCF Model</t>
  </si>
  <si>
    <t>All figures $B unless noted</t>
  </si>
  <si>
    <t>Historicals (source: SEC EDGAR 10-Ks)</t>
  </si>
  <si>
    <t>Fiscal Year</t>
  </si>
  <si>
    <t>Revenue</t>
  </si>
  <si>
    <t>Operating Income</t>
  </si>
  <si>
    <t>Operating Margin</t>
  </si>
  <si>
    <t>D&amp;A</t>
  </si>
  <si>
    <t>Capex</t>
  </si>
  <si>
    <t>Assumptions</t>
  </si>
  <si>
    <t>Case</t>
  </si>
  <si>
    <t>Bear</t>
  </si>
  <si>
    <t>Base</t>
  </si>
  <si>
    <t>Bull</t>
  </si>
  <si>
    <t>Rev growth Y1</t>
  </si>
  <si>
    <t>Rev growth Y2</t>
  </si>
  <si>
    <t>Rev growth Y3</t>
  </si>
  <si>
    <t>Rev growth Y4</t>
  </si>
  <si>
    <t>Rev growth Y5</t>
  </si>
  <si>
    <t>Tax Rate</t>
  </si>
  <si>
    <t>Capex % of Revenue</t>
  </si>
  <si>
    <t>D%A % of Revenue</t>
  </si>
  <si>
    <t>Selected Case</t>
  </si>
  <si>
    <t>Active Assumptions</t>
  </si>
  <si>
    <t>Projection</t>
  </si>
  <si>
    <t>Revenue Growth</t>
  </si>
  <si>
    <t>Operating Income (EBIT)</t>
  </si>
  <si>
    <t>Less: Taxes</t>
  </si>
  <si>
    <t>NOPAT</t>
  </si>
  <si>
    <t>Add: D&amp;A</t>
  </si>
  <si>
    <t>Less: Capex</t>
  </si>
  <si>
    <t>FCF</t>
  </si>
  <si>
    <t>NWC</t>
  </si>
  <si>
    <t>NWC % of Revenue</t>
  </si>
  <si>
    <t xml:space="preserve">Less: Change in NWC </t>
  </si>
  <si>
    <t>WACC</t>
  </si>
  <si>
    <t>Risk-Free Rate</t>
  </si>
  <si>
    <t>Beta (raw, 5Y monthly)</t>
  </si>
  <si>
    <t>Cost of Equity</t>
  </si>
  <si>
    <t>Cost of Debt (pre-tax)</t>
  </si>
  <si>
    <t>Cost of Debt (post-tax)</t>
  </si>
  <si>
    <t>MVE</t>
  </si>
  <si>
    <t>Debt</t>
  </si>
  <si>
    <t>Total Capital</t>
  </si>
  <si>
    <t>Equity Weight</t>
  </si>
  <si>
    <t>Debt Weight</t>
  </si>
  <si>
    <t>g</t>
  </si>
  <si>
    <t>Discount Period</t>
  </si>
  <si>
    <t>PV of FCF</t>
  </si>
  <si>
    <t xml:space="preserve">Terminal Value </t>
  </si>
  <si>
    <t>PV of TV</t>
  </si>
  <si>
    <t>Sum of PV of FCF</t>
  </si>
  <si>
    <t>Enterprise Value</t>
  </si>
  <si>
    <t>TV% of EV</t>
  </si>
  <si>
    <t>Less: Total Debt</t>
  </si>
  <si>
    <t>Plus: Cash</t>
  </si>
  <si>
    <t>Intrinsic Value / Share</t>
  </si>
  <si>
    <t>Current Price</t>
  </si>
  <si>
    <t>Upside/(Downside)</t>
  </si>
  <si>
    <t>Market Risk Premium</t>
  </si>
  <si>
    <t>VALUATION DATE: 07/13/2026. MARKET INPUTS FROZEN AS OF THIS DATE.</t>
  </si>
  <si>
    <t>Terminal EBITDA</t>
  </si>
  <si>
    <t>Implied Exit Multiple (Gordon)</t>
  </si>
  <si>
    <t>QCOM current EV/EBITDA</t>
  </si>
  <si>
    <t>Exit Multiple (EV/EBITDA)</t>
  </si>
  <si>
    <t xml:space="preserve">Implied Value/Share </t>
  </si>
  <si>
    <t>Reverse DCF (What the Market is Implying)</t>
  </si>
  <si>
    <t>Market Equity Value</t>
  </si>
  <si>
    <t>Market Enterprise Value</t>
  </si>
  <si>
    <t>Implied Terminal Value</t>
  </si>
  <si>
    <t>Implied Exit Multiple</t>
  </si>
  <si>
    <t>Implied Terminal Growth</t>
  </si>
  <si>
    <t>Shares Outstanding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</si>
</sst>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10" fontId="0" fillId="0" borderId="0" xfId="1" applyNumberFormat="1" applyFont="1"/>
    <xf numFmtId="9" fontId="0" fillId="0" borderId="0" xfId="0" applyNumberFormat="1"/>
    <xf numFmtId="0" fontId="0" fillId="2" borderId="0" xfId="0" applyFill="1"/>
    <xf numFmtId="2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43" fontId="0" fillId="0" borderId="0" xfId="2" applyFont="1"/>
    <xf numFmtId="43" fontId="0" fillId="0" borderId="0" xfId="0" applyNumberFormat="1"/>
    <xf numFmtId="164" fontId="0" fillId="0" borderId="0" xfId="0" applyNumberFormat="1"/>
    <xf numFmtId="165" fontId="0" fillId="0" borderId="0" xfId="3" applyNumberFormat="1" applyFont="1"/>
    <xf numFmtId="165" fontId="0" fillId="2" borderId="0" xfId="3" applyNumberFormat="1" applyFont="1" applyFill="1"/>
    <xf numFmtId="0" fontId="2" fillId="0" borderId="0" xfId="0" applyFont="1" applyAlignment="1">
      <alignment wrapText="1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581F-07E8-4A9E-B536-2BF084D7454F}">
  <dimension ref="A1:G113"/>
  <sheetViews>
    <sheetView topLeftCell="A59" zoomScale="80" zoomScaleNormal="80" workbookViewId="0">
      <selection activeCell="J89" sqref="A1:XFD1048576"/>
    </sheetView>
  </sheetViews>
  <sheetFormatPr defaultRowHeight="15" x14ac:dyDescent="0.25"/>
  <cols>
    <col min="1" max="1" width="38.28515625" customWidth="1"/>
    <col min="2" max="2" width="18.85546875" customWidth="1"/>
    <col min="3" max="7" width="11.710937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ht="45" x14ac:dyDescent="0.25">
      <c r="A3" s="13" t="s">
        <v>60</v>
      </c>
    </row>
    <row r="4" spans="1:6" x14ac:dyDescent="0.25">
      <c r="A4" t="s">
        <v>2</v>
      </c>
    </row>
    <row r="5" spans="1:6" x14ac:dyDescent="0.25">
      <c r="A5" t="s">
        <v>3</v>
      </c>
      <c r="C5">
        <v>2022</v>
      </c>
      <c r="D5">
        <f>C5+1</f>
        <v>2023</v>
      </c>
      <c r="E5">
        <f t="shared" ref="E5:F5" si="0">D5+1</f>
        <v>2024</v>
      </c>
      <c r="F5">
        <f t="shared" si="0"/>
        <v>2025</v>
      </c>
    </row>
    <row r="6" spans="1:6" x14ac:dyDescent="0.25">
      <c r="A6" t="s">
        <v>4</v>
      </c>
      <c r="C6">
        <v>44.2</v>
      </c>
      <c r="D6">
        <v>35.82</v>
      </c>
      <c r="E6">
        <v>38.96</v>
      </c>
      <c r="F6">
        <v>44.28</v>
      </c>
    </row>
    <row r="7" spans="1:6" x14ac:dyDescent="0.25">
      <c r="A7" t="s">
        <v>5</v>
      </c>
      <c r="C7">
        <v>15.86</v>
      </c>
      <c r="D7">
        <v>7.79</v>
      </c>
      <c r="E7">
        <v>10.07</v>
      </c>
      <c r="F7">
        <v>12.36</v>
      </c>
    </row>
    <row r="8" spans="1:6" x14ac:dyDescent="0.25">
      <c r="A8" t="s">
        <v>6</v>
      </c>
      <c r="C8" s="2">
        <f>C7/C6</f>
        <v>0.35882352941176465</v>
      </c>
      <c r="D8" s="2">
        <f t="shared" ref="D8:F8" si="1">D7/D6</f>
        <v>0.21747627024008934</v>
      </c>
      <c r="E8" s="2">
        <f t="shared" si="1"/>
        <v>0.25847022587268992</v>
      </c>
      <c r="F8" s="2">
        <f t="shared" si="1"/>
        <v>0.27913279132791324</v>
      </c>
    </row>
    <row r="9" spans="1:6" x14ac:dyDescent="0.25">
      <c r="A9" t="s">
        <v>7</v>
      </c>
      <c r="C9">
        <v>1.78</v>
      </c>
      <c r="D9">
        <v>1.82</v>
      </c>
      <c r="E9">
        <v>1.71</v>
      </c>
      <c r="F9">
        <v>1.62</v>
      </c>
    </row>
    <row r="10" spans="1:6" x14ac:dyDescent="0.25">
      <c r="A10" t="s">
        <v>8</v>
      </c>
      <c r="C10">
        <v>2.2599999999999998</v>
      </c>
      <c r="D10">
        <v>1.45</v>
      </c>
      <c r="E10">
        <v>1.04</v>
      </c>
      <c r="F10">
        <v>1.19</v>
      </c>
    </row>
    <row r="11" spans="1:6" x14ac:dyDescent="0.25">
      <c r="A11" t="s">
        <v>32</v>
      </c>
      <c r="C11">
        <v>4.9000000000000004</v>
      </c>
      <c r="D11">
        <v>4.13</v>
      </c>
      <c r="E11">
        <v>3.87</v>
      </c>
      <c r="F11">
        <v>5.14</v>
      </c>
    </row>
    <row r="13" spans="1:6" x14ac:dyDescent="0.25">
      <c r="A13" t="s">
        <v>9</v>
      </c>
    </row>
    <row r="14" spans="1:6" x14ac:dyDescent="0.25">
      <c r="A14" t="s">
        <v>10</v>
      </c>
      <c r="C14" t="s">
        <v>11</v>
      </c>
      <c r="D14" t="s">
        <v>12</v>
      </c>
      <c r="E14" t="s">
        <v>13</v>
      </c>
    </row>
    <row r="15" spans="1:6" x14ac:dyDescent="0.25">
      <c r="A15" t="s">
        <v>14</v>
      </c>
      <c r="C15" s="3">
        <v>0</v>
      </c>
      <c r="D15" s="3">
        <v>0.02</v>
      </c>
      <c r="E15" s="3">
        <v>0.06</v>
      </c>
    </row>
    <row r="16" spans="1:6" x14ac:dyDescent="0.25">
      <c r="A16" t="s">
        <v>15</v>
      </c>
      <c r="C16" s="3">
        <v>0</v>
      </c>
      <c r="D16" s="3">
        <v>0.02</v>
      </c>
      <c r="E16" s="3">
        <v>0.06</v>
      </c>
    </row>
    <row r="17" spans="1:5" x14ac:dyDescent="0.25">
      <c r="A17" t="s">
        <v>16</v>
      </c>
      <c r="C17" s="3">
        <v>-0.01</v>
      </c>
      <c r="D17" s="3">
        <v>0.02</v>
      </c>
      <c r="E17" s="3">
        <v>0.05</v>
      </c>
    </row>
    <row r="18" spans="1:5" x14ac:dyDescent="0.25">
      <c r="A18" t="s">
        <v>17</v>
      </c>
      <c r="C18" s="3">
        <v>-0.01</v>
      </c>
      <c r="D18" s="3">
        <v>0.02</v>
      </c>
      <c r="E18" s="3">
        <v>0.04</v>
      </c>
    </row>
    <row r="19" spans="1:5" x14ac:dyDescent="0.25">
      <c r="A19" t="s">
        <v>18</v>
      </c>
      <c r="C19" s="3">
        <v>-0.01</v>
      </c>
      <c r="D19" s="3">
        <v>0.02</v>
      </c>
      <c r="E19" s="3">
        <v>0.04</v>
      </c>
    </row>
    <row r="20" spans="1:5" x14ac:dyDescent="0.25">
      <c r="A20" t="s">
        <v>6</v>
      </c>
      <c r="C20" s="3">
        <v>0.26</v>
      </c>
      <c r="D20" s="3">
        <v>0.28000000000000003</v>
      </c>
      <c r="E20" s="3">
        <v>0.3</v>
      </c>
    </row>
    <row r="21" spans="1:5" x14ac:dyDescent="0.25">
      <c r="A21" t="s">
        <v>19</v>
      </c>
      <c r="C21" s="3">
        <v>0.14000000000000001</v>
      </c>
      <c r="D21" s="3">
        <f t="shared" ref="D21:E22" si="2">C21</f>
        <v>0.14000000000000001</v>
      </c>
      <c r="E21" s="3">
        <f t="shared" si="2"/>
        <v>0.14000000000000001</v>
      </c>
    </row>
    <row r="22" spans="1:5" x14ac:dyDescent="0.25">
      <c r="A22" t="s">
        <v>20</v>
      </c>
      <c r="C22" s="1">
        <f>3%</f>
        <v>0.03</v>
      </c>
      <c r="D22" s="1">
        <f t="shared" si="2"/>
        <v>0.03</v>
      </c>
      <c r="E22" s="1">
        <f t="shared" si="2"/>
        <v>0.03</v>
      </c>
    </row>
    <row r="23" spans="1:5" x14ac:dyDescent="0.25">
      <c r="A23" t="s">
        <v>21</v>
      </c>
      <c r="C23" s="6">
        <f>F9/F6</f>
        <v>3.6585365853658541E-2</v>
      </c>
      <c r="D23" s="6">
        <f>C23</f>
        <v>3.6585365853658541E-2</v>
      </c>
      <c r="E23" s="6">
        <f>C23</f>
        <v>3.6585365853658541E-2</v>
      </c>
    </row>
    <row r="24" spans="1:5" x14ac:dyDescent="0.25">
      <c r="A24" t="s">
        <v>33</v>
      </c>
      <c r="C24" s="6">
        <f>$F$11/$F$6</f>
        <v>0.1160794941282746</v>
      </c>
      <c r="D24" s="6">
        <f t="shared" ref="D24:E24" si="3">$F$11/$F$6</f>
        <v>0.1160794941282746</v>
      </c>
      <c r="E24" s="6">
        <f t="shared" si="3"/>
        <v>0.1160794941282746</v>
      </c>
    </row>
    <row r="26" spans="1:5" x14ac:dyDescent="0.25">
      <c r="A26" t="s">
        <v>22</v>
      </c>
      <c r="C26" s="4" t="s">
        <v>12</v>
      </c>
    </row>
    <row r="27" spans="1:5" x14ac:dyDescent="0.25">
      <c r="A27" t="s">
        <v>23</v>
      </c>
    </row>
    <row r="28" spans="1:5" x14ac:dyDescent="0.25">
      <c r="A28" t="s">
        <v>14</v>
      </c>
      <c r="C28" s="1">
        <f t="shared" ref="C28:C37" si="4">INDEX($C15:$E15, MATCH($C$26, $C$14:$E$14, 0))</f>
        <v>0.02</v>
      </c>
    </row>
    <row r="29" spans="1:5" x14ac:dyDescent="0.25">
      <c r="A29" t="str">
        <f>A16</f>
        <v>Rev growth Y2</v>
      </c>
      <c r="C29" s="1">
        <f t="shared" si="4"/>
        <v>0.02</v>
      </c>
    </row>
    <row r="30" spans="1:5" x14ac:dyDescent="0.25">
      <c r="A30" t="str">
        <f t="shared" ref="A30:A35" si="5">A17</f>
        <v>Rev growth Y3</v>
      </c>
      <c r="C30" s="1">
        <f t="shared" si="4"/>
        <v>0.02</v>
      </c>
    </row>
    <row r="31" spans="1:5" x14ac:dyDescent="0.25">
      <c r="A31" t="str">
        <f t="shared" si="5"/>
        <v>Rev growth Y4</v>
      </c>
      <c r="C31" s="1">
        <f t="shared" si="4"/>
        <v>0.02</v>
      </c>
    </row>
    <row r="32" spans="1:5" x14ac:dyDescent="0.25">
      <c r="A32" t="str">
        <f t="shared" si="5"/>
        <v>Rev growth Y5</v>
      </c>
      <c r="C32" s="1">
        <f t="shared" si="4"/>
        <v>0.02</v>
      </c>
    </row>
    <row r="33" spans="1:7" x14ac:dyDescent="0.25">
      <c r="A33" t="str">
        <f t="shared" si="5"/>
        <v>Operating Margin</v>
      </c>
      <c r="C33" s="1">
        <f t="shared" si="4"/>
        <v>0.28000000000000003</v>
      </c>
    </row>
    <row r="34" spans="1:7" x14ac:dyDescent="0.25">
      <c r="A34" t="str">
        <f t="shared" si="5"/>
        <v>Tax Rate</v>
      </c>
      <c r="C34" s="1">
        <f t="shared" si="4"/>
        <v>0.14000000000000001</v>
      </c>
    </row>
    <row r="35" spans="1:7" x14ac:dyDescent="0.25">
      <c r="A35" t="str">
        <f t="shared" si="5"/>
        <v>Capex % of Revenue</v>
      </c>
      <c r="C35" s="1">
        <f t="shared" si="4"/>
        <v>0.03</v>
      </c>
    </row>
    <row r="36" spans="1:7" x14ac:dyDescent="0.25">
      <c r="A36" t="str">
        <f>A23</f>
        <v>D%A % of Revenue</v>
      </c>
      <c r="C36" s="6">
        <f t="shared" si="4"/>
        <v>3.6585365853658541E-2</v>
      </c>
    </row>
    <row r="37" spans="1:7" x14ac:dyDescent="0.25">
      <c r="A37" t="str">
        <f>A24</f>
        <v>NWC % of Revenue</v>
      </c>
      <c r="C37" s="6">
        <f t="shared" si="4"/>
        <v>0.1160794941282746</v>
      </c>
    </row>
    <row r="39" spans="1:7" x14ac:dyDescent="0.25">
      <c r="A39" t="s">
        <v>24</v>
      </c>
    </row>
    <row r="40" spans="1:7" x14ac:dyDescent="0.25">
      <c r="A40" t="s">
        <v>3</v>
      </c>
      <c r="C40">
        <v>2026</v>
      </c>
      <c r="D40">
        <v>2027</v>
      </c>
      <c r="E40">
        <v>2028</v>
      </c>
      <c r="F40">
        <v>2029</v>
      </c>
      <c r="G40">
        <v>2030</v>
      </c>
    </row>
    <row r="41" spans="1:7" x14ac:dyDescent="0.25">
      <c r="A41" t="s">
        <v>4</v>
      </c>
      <c r="C41" s="5">
        <f>F6*(1+C42)</f>
        <v>45.165600000000005</v>
      </c>
      <c r="D41" s="5">
        <f>C41*(1+D42)</f>
        <v>46.068912000000005</v>
      </c>
      <c r="E41" s="5">
        <f t="shared" ref="E41:F41" si="6">D41*(1+E42)</f>
        <v>46.990290240000007</v>
      </c>
      <c r="F41" s="5">
        <f t="shared" si="6"/>
        <v>47.93009604480001</v>
      </c>
      <c r="G41" s="5">
        <f>F41*(1+G42)</f>
        <v>48.888697965696011</v>
      </c>
    </row>
    <row r="42" spans="1:7" x14ac:dyDescent="0.25">
      <c r="A42" t="s">
        <v>25</v>
      </c>
      <c r="C42" s="3">
        <f>$C$28</f>
        <v>0.02</v>
      </c>
      <c r="D42" s="3">
        <f>$C$29</f>
        <v>0.02</v>
      </c>
      <c r="E42" s="3">
        <f>$C$30</f>
        <v>0.02</v>
      </c>
      <c r="F42" s="3">
        <f>$C$31</f>
        <v>0.02</v>
      </c>
      <c r="G42" s="3">
        <f>$C$32</f>
        <v>0.02</v>
      </c>
    </row>
    <row r="43" spans="1:7" x14ac:dyDescent="0.25">
      <c r="A43" t="s">
        <v>26</v>
      </c>
      <c r="C43" s="5">
        <f>C41*$C$33</f>
        <v>12.646368000000002</v>
      </c>
      <c r="D43" s="5">
        <f t="shared" ref="D43:G43" si="7">D41*$C$33</f>
        <v>12.899295360000002</v>
      </c>
      <c r="E43" s="5">
        <f t="shared" si="7"/>
        <v>13.157281267200004</v>
      </c>
      <c r="F43" s="5">
        <f t="shared" si="7"/>
        <v>13.420426892544004</v>
      </c>
      <c r="G43" s="5">
        <f t="shared" si="7"/>
        <v>13.688835430394885</v>
      </c>
    </row>
    <row r="44" spans="1:7" x14ac:dyDescent="0.25">
      <c r="A44" t="s">
        <v>27</v>
      </c>
      <c r="C44" s="5">
        <f>C43*$C$34</f>
        <v>1.7704915200000004</v>
      </c>
      <c r="D44" s="5">
        <f t="shared" ref="D44:G44" si="8">D43*$C$34</f>
        <v>1.8059013504000003</v>
      </c>
      <c r="E44" s="5">
        <f t="shared" si="8"/>
        <v>1.8420193774080007</v>
      </c>
      <c r="F44" s="5">
        <f t="shared" si="8"/>
        <v>1.8788597649561607</v>
      </c>
      <c r="G44" s="5">
        <f t="shared" si="8"/>
        <v>1.9164369602552842</v>
      </c>
    </row>
    <row r="45" spans="1:7" x14ac:dyDescent="0.25">
      <c r="A45" t="s">
        <v>28</v>
      </c>
      <c r="C45" s="5">
        <f>C43-C44</f>
        <v>10.875876480000002</v>
      </c>
      <c r="D45" s="5">
        <f t="shared" ref="D45:G45" si="9">D43-D44</f>
        <v>11.093394009600001</v>
      </c>
      <c r="E45" s="5">
        <f t="shared" si="9"/>
        <v>11.315261889792003</v>
      </c>
      <c r="F45" s="5">
        <f t="shared" si="9"/>
        <v>11.541567127587843</v>
      </c>
      <c r="G45" s="5">
        <f t="shared" si="9"/>
        <v>11.772398470139601</v>
      </c>
    </row>
    <row r="46" spans="1:7" x14ac:dyDescent="0.25">
      <c r="A46" t="s">
        <v>29</v>
      </c>
      <c r="C46" s="5">
        <f>C41*$C$36</f>
        <v>1.6524000000000003</v>
      </c>
      <c r="D46" s="5">
        <f t="shared" ref="D46:G46" si="10">D41*$C$36</f>
        <v>1.6854480000000003</v>
      </c>
      <c r="E46" s="5">
        <f t="shared" si="10"/>
        <v>1.7191569600000005</v>
      </c>
      <c r="F46" s="5">
        <f t="shared" si="10"/>
        <v>1.7535400992000005</v>
      </c>
      <c r="G46" s="5">
        <f t="shared" si="10"/>
        <v>1.7886109011840006</v>
      </c>
    </row>
    <row r="47" spans="1:7" x14ac:dyDescent="0.25">
      <c r="A47" t="s">
        <v>30</v>
      </c>
      <c r="C47" s="5">
        <f>C41*$C$35</f>
        <v>1.3549680000000002</v>
      </c>
      <c r="D47" s="5">
        <f t="shared" ref="D47:G47" si="11">D41*$C$35</f>
        <v>1.3820673600000002</v>
      </c>
      <c r="E47" s="5">
        <f t="shared" si="11"/>
        <v>1.4097087072000001</v>
      </c>
      <c r="F47" s="5">
        <f t="shared" si="11"/>
        <v>1.4379028813440002</v>
      </c>
      <c r="G47" s="5">
        <f t="shared" si="11"/>
        <v>1.4666609389708802</v>
      </c>
    </row>
    <row r="48" spans="1:7" x14ac:dyDescent="0.25">
      <c r="A48" t="s">
        <v>34</v>
      </c>
      <c r="C48" s="5">
        <f>$C$37*(C41-F6)</f>
        <v>0.10280000000000042</v>
      </c>
      <c r="D48" s="5">
        <f>$C$37*(D41-C41)</f>
        <v>0.10485599999999995</v>
      </c>
      <c r="E48" s="5">
        <f t="shared" ref="E48:G48" si="12">$C$37*(E41-D41)</f>
        <v>0.10695312000000032</v>
      </c>
      <c r="F48" s="5">
        <f t="shared" si="12"/>
        <v>0.10909218240000026</v>
      </c>
      <c r="G48" s="5">
        <f t="shared" si="12"/>
        <v>0.11127402604800012</v>
      </c>
    </row>
    <row r="49" spans="1:7" x14ac:dyDescent="0.25">
      <c r="A49" t="s">
        <v>31</v>
      </c>
      <c r="C49" s="5">
        <f>C45+C46-C47-C48</f>
        <v>11.070508480000003</v>
      </c>
      <c r="D49" s="5">
        <f t="shared" ref="D49:G49" si="13">D45+D46-D47-D48</f>
        <v>11.291918649600001</v>
      </c>
      <c r="E49" s="5">
        <f t="shared" si="13"/>
        <v>11.517757022592004</v>
      </c>
      <c r="F49" s="5">
        <f t="shared" si="13"/>
        <v>11.748112163043844</v>
      </c>
      <c r="G49" s="5">
        <f t="shared" si="13"/>
        <v>11.98307440630472</v>
      </c>
    </row>
    <row r="51" spans="1:7" x14ac:dyDescent="0.25">
      <c r="A51" t="s">
        <v>35</v>
      </c>
    </row>
    <row r="52" spans="1:7" x14ac:dyDescent="0.25">
      <c r="A52" t="s">
        <v>36</v>
      </c>
      <c r="B52" s="1">
        <f>0.0455</f>
        <v>4.5499999999999999E-2</v>
      </c>
    </row>
    <row r="53" spans="1:7" x14ac:dyDescent="0.25">
      <c r="A53" t="s">
        <v>59</v>
      </c>
      <c r="B53" s="1">
        <f>0.05</f>
        <v>0.05</v>
      </c>
    </row>
    <row r="54" spans="1:7" x14ac:dyDescent="0.25">
      <c r="A54" t="s">
        <v>37</v>
      </c>
      <c r="B54" s="8">
        <v>1.64</v>
      </c>
    </row>
    <row r="55" spans="1:7" x14ac:dyDescent="0.25">
      <c r="A55" t="s">
        <v>38</v>
      </c>
      <c r="B55" s="1">
        <f>B52+B53*B54</f>
        <v>0.1275</v>
      </c>
    </row>
    <row r="56" spans="1:7" x14ac:dyDescent="0.25">
      <c r="A56" t="s">
        <v>39</v>
      </c>
      <c r="B56" s="1">
        <v>4.7300000000000002E-2</v>
      </c>
    </row>
    <row r="57" spans="1:7" x14ac:dyDescent="0.25">
      <c r="A57" t="s">
        <v>19</v>
      </c>
      <c r="B57" s="3">
        <f>C34</f>
        <v>0.14000000000000001</v>
      </c>
    </row>
    <row r="58" spans="1:7" x14ac:dyDescent="0.25">
      <c r="A58" t="s">
        <v>40</v>
      </c>
      <c r="B58" s="1">
        <f>B56*(1-B57)</f>
        <v>4.0677999999999999E-2</v>
      </c>
    </row>
    <row r="59" spans="1:7" x14ac:dyDescent="0.25">
      <c r="A59" t="s">
        <v>41</v>
      </c>
      <c r="B59">
        <f>185.27*1.054</f>
        <v>195.27458000000001</v>
      </c>
    </row>
    <row r="60" spans="1:7" x14ac:dyDescent="0.25">
      <c r="A60" t="s">
        <v>42</v>
      </c>
      <c r="B60">
        <v>14.81</v>
      </c>
    </row>
    <row r="61" spans="1:7" x14ac:dyDescent="0.25">
      <c r="A61" t="s">
        <v>43</v>
      </c>
      <c r="B61">
        <f>B59+B60</f>
        <v>210.08458000000002</v>
      </c>
    </row>
    <row r="62" spans="1:7" x14ac:dyDescent="0.25">
      <c r="A62" t="s">
        <v>44</v>
      </c>
      <c r="B62" s="1">
        <f>B59/B61</f>
        <v>0.92950458334447961</v>
      </c>
    </row>
    <row r="63" spans="1:7" x14ac:dyDescent="0.25">
      <c r="A63" t="s">
        <v>45</v>
      </c>
      <c r="B63" s="1">
        <f>B60/B61</f>
        <v>7.0495416655520365E-2</v>
      </c>
    </row>
    <row r="64" spans="1:7" x14ac:dyDescent="0.25">
      <c r="A64" t="s">
        <v>35</v>
      </c>
      <c r="B64" s="1">
        <f>B62*B55+B63*B58</f>
        <v>0.12137944693513442</v>
      </c>
    </row>
    <row r="65" spans="1:7" x14ac:dyDescent="0.25">
      <c r="A65" t="s">
        <v>46</v>
      </c>
      <c r="B65" s="7">
        <v>2.5000000000000001E-2</v>
      </c>
    </row>
    <row r="68" spans="1:7" x14ac:dyDescent="0.25">
      <c r="A68" t="s">
        <v>3</v>
      </c>
      <c r="C68">
        <f>C40</f>
        <v>2026</v>
      </c>
      <c r="D68">
        <f t="shared" ref="D68:G68" si="14">D40</f>
        <v>2027</v>
      </c>
      <c r="E68">
        <f t="shared" si="14"/>
        <v>2028</v>
      </c>
      <c r="F68">
        <f t="shared" si="14"/>
        <v>2029</v>
      </c>
      <c r="G68">
        <f t="shared" si="14"/>
        <v>2030</v>
      </c>
    </row>
    <row r="69" spans="1:7" x14ac:dyDescent="0.25">
      <c r="A69" t="s">
        <v>31</v>
      </c>
      <c r="C69" s="5">
        <f>C49</f>
        <v>11.070508480000003</v>
      </c>
      <c r="D69" s="5">
        <f t="shared" ref="D69:G69" si="15">D49</f>
        <v>11.291918649600001</v>
      </c>
      <c r="E69" s="5">
        <f t="shared" si="15"/>
        <v>11.517757022592004</v>
      </c>
      <c r="F69" s="5">
        <f t="shared" si="15"/>
        <v>11.748112163043844</v>
      </c>
      <c r="G69" s="5">
        <f t="shared" si="15"/>
        <v>11.98307440630472</v>
      </c>
    </row>
    <row r="70" spans="1:7" x14ac:dyDescent="0.25">
      <c r="A70" t="s">
        <v>47</v>
      </c>
      <c r="C70">
        <v>1</v>
      </c>
      <c r="D70">
        <v>2</v>
      </c>
      <c r="E70">
        <v>3</v>
      </c>
      <c r="F70">
        <v>4</v>
      </c>
      <c r="G70">
        <v>5</v>
      </c>
    </row>
    <row r="71" spans="1:7" x14ac:dyDescent="0.25">
      <c r="A71" t="s">
        <v>48</v>
      </c>
      <c r="C71" s="5">
        <f>-PV($B$64, C70, 0, C69)</f>
        <v>9.8722234567942557</v>
      </c>
      <c r="D71" s="5">
        <f t="shared" ref="D71:G71" si="16">-PV($B$64, D70, 0, D69)</f>
        <v>8.9797150763301037</v>
      </c>
      <c r="E71" s="5">
        <f t="shared" si="16"/>
        <v>8.1678948217663603</v>
      </c>
      <c r="F71" s="5">
        <f t="shared" si="16"/>
        <v>7.4294680011944303</v>
      </c>
      <c r="G71" s="5">
        <f t="shared" si="16"/>
        <v>6.7577994067307596</v>
      </c>
    </row>
    <row r="73" spans="1:7" x14ac:dyDescent="0.25">
      <c r="A73" t="s">
        <v>49</v>
      </c>
      <c r="B73">
        <f>(G69*(1+$B$65))/($B$64-$B$65)</f>
        <v>127.44056598217297</v>
      </c>
    </row>
    <row r="74" spans="1:7" x14ac:dyDescent="0.25">
      <c r="A74" t="s">
        <v>50</v>
      </c>
      <c r="B74" s="8">
        <f>-PV(B64, 5, 0, B73)</f>
        <v>71.869517953977109</v>
      </c>
    </row>
    <row r="75" spans="1:7" x14ac:dyDescent="0.25">
      <c r="A75" t="s">
        <v>51</v>
      </c>
      <c r="B75" s="5">
        <f>SUM(C71:G71)</f>
        <v>41.207100762815912</v>
      </c>
    </row>
    <row r="76" spans="1:7" x14ac:dyDescent="0.25">
      <c r="A76" t="s">
        <v>52</v>
      </c>
      <c r="B76" s="9">
        <f>B74+B75</f>
        <v>113.07661871679302</v>
      </c>
    </row>
    <row r="77" spans="1:7" x14ac:dyDescent="0.25">
      <c r="A77" t="s">
        <v>53</v>
      </c>
      <c r="B77">
        <f>B74/B76</f>
        <v>0.63558248176821153</v>
      </c>
    </row>
    <row r="79" spans="1:7" x14ac:dyDescent="0.25">
      <c r="A79" t="s">
        <v>52</v>
      </c>
      <c r="B79" s="9">
        <f>B76</f>
        <v>113.07661871679302</v>
      </c>
    </row>
    <row r="80" spans="1:7" x14ac:dyDescent="0.25">
      <c r="A80" t="s">
        <v>54</v>
      </c>
      <c r="B80">
        <f>B60</f>
        <v>14.81</v>
      </c>
    </row>
    <row r="81" spans="1:7" x14ac:dyDescent="0.25">
      <c r="A81" t="s">
        <v>55</v>
      </c>
      <c r="B81">
        <f>5520000000/1000000000+4.63</f>
        <v>10.149999999999999</v>
      </c>
    </row>
    <row r="82" spans="1:7" x14ac:dyDescent="0.25">
      <c r="A82" t="s">
        <v>41</v>
      </c>
      <c r="B82" s="9">
        <f>B79-B80+B81</f>
        <v>108.41661871679301</v>
      </c>
    </row>
    <row r="83" spans="1:7" x14ac:dyDescent="0.25">
      <c r="A83" t="s">
        <v>72</v>
      </c>
      <c r="B83" s="8">
        <f>1054000000/1000000000</f>
        <v>1.054</v>
      </c>
    </row>
    <row r="84" spans="1:7" x14ac:dyDescent="0.25">
      <c r="A84" t="s">
        <v>56</v>
      </c>
      <c r="B84">
        <f>(B82)/B83</f>
        <v>102.86206709373151</v>
      </c>
    </row>
    <row r="85" spans="1:7" x14ac:dyDescent="0.25">
      <c r="A85" t="s">
        <v>57</v>
      </c>
      <c r="B85">
        <v>185.27</v>
      </c>
    </row>
    <row r="86" spans="1:7" x14ac:dyDescent="0.25">
      <c r="A86" t="s">
        <v>58</v>
      </c>
      <c r="B86">
        <f>B84/B85-1</f>
        <v>-0.44479911969702868</v>
      </c>
    </row>
    <row r="89" spans="1:7" x14ac:dyDescent="0.25">
      <c r="A89" t="s">
        <v>46</v>
      </c>
      <c r="C89" s="3">
        <v>0.02</v>
      </c>
      <c r="D89" s="7">
        <v>2.2499999999999999E-2</v>
      </c>
      <c r="E89" s="7">
        <v>2.5000000000000001E-2</v>
      </c>
      <c r="F89" s="7">
        <v>2.75E-2</v>
      </c>
      <c r="G89" s="3">
        <v>0.03</v>
      </c>
    </row>
    <row r="90" spans="1:7" x14ac:dyDescent="0.25">
      <c r="B90" s="10">
        <v>0.1</v>
      </c>
      <c r="C90" s="11">
        <f>(NPV($B90,$C$69:$G$69)+(($G$69*(1+C$89))/($B90-C$89))/(1+$B90)^5-$B$60+$B$81)/$B$83</f>
        <v>126.87035673624287</v>
      </c>
      <c r="D90" s="11">
        <f t="shared" ref="D90:G96" si="17">(NPV($B90,$C$69:$G$69)+(($G$69*(1+D$89))/($B90-D$89))/(1+$B90)^5-$B$60+$B$81)/$B$83</f>
        <v>130.00151647186863</v>
      </c>
      <c r="E90" s="11">
        <f t="shared" si="17"/>
        <v>133.34142018986944</v>
      </c>
      <c r="F90" s="11">
        <f t="shared" si="17"/>
        <v>136.91166209531863</v>
      </c>
      <c r="G90" s="11">
        <f t="shared" si="17"/>
        <v>140.73692127972845</v>
      </c>
    </row>
    <row r="91" spans="1:7" x14ac:dyDescent="0.25">
      <c r="B91" s="10">
        <f>B90+0.5%</f>
        <v>0.10500000000000001</v>
      </c>
      <c r="C91" s="11">
        <f t="shared" ref="C91:C96" si="18">(NPV($B91,$C$69:$G$69)+(($G$69*(1+C$89))/($B91-C$89))/(1+$B91)^5-$B$60+$B$81)/$B$83</f>
        <v>119.14732090635118</v>
      </c>
      <c r="D91" s="11">
        <f t="shared" si="17"/>
        <v>121.86592312775092</v>
      </c>
      <c r="E91" s="11">
        <f t="shared" si="17"/>
        <v>124.75443798798815</v>
      </c>
      <c r="F91" s="11">
        <f t="shared" si="17"/>
        <v>127.82930864566009</v>
      </c>
      <c r="G91" s="11">
        <f t="shared" si="17"/>
        <v>131.10917068051015</v>
      </c>
    </row>
    <row r="92" spans="1:7" x14ac:dyDescent="0.25">
      <c r="B92" s="10">
        <f t="shared" ref="B92:B96" si="19">B91+0.5%</f>
        <v>0.11000000000000001</v>
      </c>
      <c r="C92" s="11">
        <f t="shared" si="18"/>
        <v>112.2824001686696</v>
      </c>
      <c r="D92" s="11">
        <f t="shared" si="17"/>
        <v>114.65992562781753</v>
      </c>
      <c r="E92" s="11">
        <f t="shared" si="17"/>
        <v>117.17730552573892</v>
      </c>
      <c r="F92" s="11">
        <f t="shared" si="17"/>
        <v>119.84725390232218</v>
      </c>
      <c r="G92" s="11">
        <f t="shared" si="17"/>
        <v>122.68407405244189</v>
      </c>
    </row>
    <row r="93" spans="1:7" x14ac:dyDescent="0.25">
      <c r="B93" s="10">
        <f t="shared" si="19"/>
        <v>0.11500000000000002</v>
      </c>
      <c r="C93" s="11">
        <f t="shared" si="18"/>
        <v>106.14010266653349</v>
      </c>
      <c r="D93" s="11">
        <f t="shared" si="17"/>
        <v>108.23278277490434</v>
      </c>
      <c r="E93" s="11">
        <f t="shared" si="17"/>
        <v>110.4417228892958</v>
      </c>
      <c r="F93" s="11">
        <f t="shared" si="17"/>
        <v>112.77688815308106</v>
      </c>
      <c r="G93" s="11">
        <f t="shared" si="17"/>
        <v>115.24941607944191</v>
      </c>
    </row>
    <row r="94" spans="1:7" x14ac:dyDescent="0.25">
      <c r="B94" s="10">
        <f t="shared" si="19"/>
        <v>0.12000000000000002</v>
      </c>
      <c r="C94" s="11">
        <f t="shared" si="18"/>
        <v>100.61203491461099</v>
      </c>
      <c r="D94" s="11">
        <f t="shared" si="17"/>
        <v>102.46467453414995</v>
      </c>
      <c r="E94" s="12">
        <f t="shared" si="17"/>
        <v>104.4148215020857</v>
      </c>
      <c r="F94" s="11">
        <f t="shared" si="17"/>
        <v>106.47038181963963</v>
      </c>
      <c r="G94" s="11">
        <f t="shared" si="17"/>
        <v>108.64013993261317</v>
      </c>
    </row>
    <row r="95" spans="1:7" x14ac:dyDescent="0.25">
      <c r="B95" s="10">
        <f>B94+0.5%</f>
        <v>0.12500000000000003</v>
      </c>
      <c r="C95" s="11">
        <f t="shared" si="18"/>
        <v>95.610449805728749</v>
      </c>
      <c r="D95" s="11">
        <f t="shared" si="17"/>
        <v>97.259160289505147</v>
      </c>
      <c r="E95" s="11">
        <f t="shared" si="17"/>
        <v>98.990306297470369</v>
      </c>
      <c r="F95" s="11">
        <f t="shared" si="17"/>
        <v>100.8102290237928</v>
      </c>
      <c r="G95" s="11">
        <f t="shared" si="17"/>
        <v>102.72593715676376</v>
      </c>
    </row>
    <row r="96" spans="1:7" x14ac:dyDescent="0.25">
      <c r="B96" s="10">
        <f t="shared" si="19"/>
        <v>0.13000000000000003</v>
      </c>
      <c r="C96" s="11">
        <f t="shared" si="18"/>
        <v>91.063554252199367</v>
      </c>
      <c r="D96" s="11">
        <f t="shared" si="17"/>
        <v>92.537741772721617</v>
      </c>
      <c r="E96" s="11">
        <f t="shared" si="17"/>
        <v>94.082128698983027</v>
      </c>
      <c r="F96" s="11">
        <f t="shared" si="17"/>
        <v>95.701851572866985</v>
      </c>
      <c r="G96" s="11">
        <f t="shared" si="17"/>
        <v>97.402560590445106</v>
      </c>
    </row>
    <row r="99" spans="1:7" x14ac:dyDescent="0.25">
      <c r="A99" t="s">
        <v>61</v>
      </c>
      <c r="B99" s="5">
        <f>G43+G46</f>
        <v>15.477446331578886</v>
      </c>
    </row>
    <row r="100" spans="1:7" x14ac:dyDescent="0.25">
      <c r="A100" t="s">
        <v>62</v>
      </c>
      <c r="B100">
        <f>B73/B99</f>
        <v>8.2339530211876042</v>
      </c>
    </row>
    <row r="101" spans="1:7" x14ac:dyDescent="0.25">
      <c r="A101" t="s">
        <v>63</v>
      </c>
      <c r="B101">
        <f>(B59+B60-B81)/(F7+F9)</f>
        <v>14.301472103004292</v>
      </c>
    </row>
    <row r="104" spans="1:7" x14ac:dyDescent="0.25">
      <c r="A104" t="s">
        <v>64</v>
      </c>
      <c r="C104">
        <v>8</v>
      </c>
      <c r="D104">
        <v>10</v>
      </c>
      <c r="E104">
        <v>12</v>
      </c>
      <c r="F104">
        <v>15</v>
      </c>
      <c r="G104">
        <v>18</v>
      </c>
    </row>
    <row r="105" spans="1:7" x14ac:dyDescent="0.25">
      <c r="A105" t="s">
        <v>65</v>
      </c>
      <c r="C105">
        <f>(NPV($B$64,$C$69:$G$69)+(C104*$B$99)/(1+$B$64)^5-$B$60+$B$81)/$B$83</f>
        <v>100.9246443478747</v>
      </c>
      <c r="D105">
        <f t="shared" ref="D105:G105" si="20">(NPV($B$64,$C$69:$G$69)+(D104*$B$99)/(1+$B$64)^5-$B$60+$B$81)/$B$83</f>
        <v>117.48713827098761</v>
      </c>
      <c r="E105">
        <f t="shared" si="20"/>
        <v>134.04963219410052</v>
      </c>
      <c r="F105">
        <f t="shared" si="20"/>
        <v>158.89337307876991</v>
      </c>
      <c r="G105">
        <f t="shared" si="20"/>
        <v>183.7371139634393</v>
      </c>
    </row>
    <row r="108" spans="1:7" x14ac:dyDescent="0.25">
      <c r="A108" t="s">
        <v>66</v>
      </c>
    </row>
    <row r="109" spans="1:7" x14ac:dyDescent="0.25">
      <c r="A109" t="s">
        <v>67</v>
      </c>
      <c r="B109" s="9">
        <f>B85*B83</f>
        <v>195.27458000000001</v>
      </c>
    </row>
    <row r="110" spans="1:7" x14ac:dyDescent="0.25">
      <c r="A110" t="s">
        <v>68</v>
      </c>
      <c r="B110" s="9">
        <f>B109+B60-B81</f>
        <v>199.93458000000001</v>
      </c>
    </row>
    <row r="111" spans="1:7" x14ac:dyDescent="0.25">
      <c r="A111" t="s">
        <v>69</v>
      </c>
      <c r="B111" s="9">
        <f>(B110-B75)*(1+B64)^5</f>
        <v>281.45896016533607</v>
      </c>
    </row>
    <row r="112" spans="1:7" x14ac:dyDescent="0.25">
      <c r="A112" t="s">
        <v>70</v>
      </c>
      <c r="B112" s="9">
        <f>B111/B99</f>
        <v>18.185103287424798</v>
      </c>
    </row>
    <row r="113" spans="1:2" x14ac:dyDescent="0.25">
      <c r="A113" t="s">
        <v>71</v>
      </c>
      <c r="B113" s="2">
        <f>(B64*B111-G69*(1+0))/(B111+G69)</f>
        <v>7.5586507385964591E-2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74BD-0641-40E2-8223-3020DF8EF03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QCOM</vt:lpstr>
      <vt:lpstr>ENTG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Kaundinya, Agnivesh</dc:creator>
  <cp:lastModifiedBy>Kaundinya, Agnivesh</cp:lastModifiedBy>
  <dcterms:created xsi:type="dcterms:W3CDTF">2026-07-10T19:54:35Z</dcterms:created>
  <dcterms:modified xsi:type="dcterms:W3CDTF">2026-07-19T17:02:22Z</dcterms:modified>
</cp:coreProperties>
</file>