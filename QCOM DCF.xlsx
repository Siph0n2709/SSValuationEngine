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nivesh Kaundinya\Desktop\Special Projects\semiconductor-relative-value\"/>
    </mc:Choice>
  </mc:AlternateContent>
  <xr:revisionPtr revIDLastSave="0" documentId="13_ncr:1_{4D843B4A-BB8D-4A1B-A908-2B783CDA00D1}" xr6:coauthVersionLast="47" xr6:coauthVersionMax="47" xr10:uidLastSave="{00000000-0000-0000-0000-000000000000}"/>
  <bookViews>
    <workbookView xWindow="19095" yWindow="10800" windowWidth="19410" windowHeight="10905" xr2:uid="{29E5435A-21FB-4BAD-8CC5-4961AABBF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9" i="1" l="1"/>
  <c r="E49" i="1"/>
  <c r="F49" i="1"/>
  <c r="G49" i="1"/>
  <c r="C49" i="1"/>
  <c r="C48" i="1"/>
  <c r="E48" i="1"/>
  <c r="F48" i="1"/>
  <c r="G48" i="1"/>
  <c r="D48" i="1"/>
  <c r="C37" i="1"/>
  <c r="A37" i="1"/>
  <c r="D24" i="1"/>
  <c r="E24" i="1"/>
  <c r="C24" i="1"/>
  <c r="C23" i="1"/>
  <c r="E23" i="1" s="1"/>
  <c r="C29" i="1"/>
  <c r="D42" i="1" s="1"/>
  <c r="C30" i="1"/>
  <c r="E42" i="1" s="1"/>
  <c r="C31" i="1"/>
  <c r="F42" i="1" s="1"/>
  <c r="C32" i="1"/>
  <c r="G42" i="1" s="1"/>
  <c r="C33" i="1"/>
  <c r="C34" i="1"/>
  <c r="C28" i="1"/>
  <c r="C42" i="1" s="1"/>
  <c r="C41" i="1" s="1"/>
  <c r="A36" i="1"/>
  <c r="A30" i="1"/>
  <c r="A31" i="1"/>
  <c r="A32" i="1"/>
  <c r="A33" i="1"/>
  <c r="A34" i="1"/>
  <c r="A35" i="1"/>
  <c r="A29" i="1"/>
  <c r="C22" i="1"/>
  <c r="D22" i="1" s="1"/>
  <c r="D21" i="1"/>
  <c r="E21" i="1" s="1"/>
  <c r="D23" i="1" l="1"/>
  <c r="C36" i="1" s="1"/>
  <c r="C43" i="1"/>
  <c r="D41" i="1"/>
  <c r="C35" i="1"/>
  <c r="C47" i="1" s="1"/>
  <c r="E22" i="1"/>
  <c r="D46" i="1"/>
  <c r="C46" i="1"/>
  <c r="D8" i="1"/>
  <c r="E8" i="1"/>
  <c r="F8" i="1"/>
  <c r="C8" i="1"/>
  <c r="D5" i="1"/>
  <c r="E5" i="1" s="1"/>
  <c r="F5" i="1" s="1"/>
  <c r="D47" i="1" l="1"/>
  <c r="D43" i="1"/>
  <c r="E41" i="1"/>
  <c r="C44" i="1"/>
  <c r="C45" i="1" s="1"/>
  <c r="F41" i="1" l="1"/>
  <c r="E43" i="1"/>
  <c r="E47" i="1"/>
  <c r="E46" i="1"/>
  <c r="D44" i="1"/>
  <c r="D45" i="1" s="1"/>
  <c r="E44" i="1" l="1"/>
  <c r="E45" i="1" s="1"/>
  <c r="G41" i="1"/>
  <c r="F47" i="1"/>
  <c r="F43" i="1"/>
  <c r="F46" i="1"/>
  <c r="F44" i="1" l="1"/>
  <c r="F45" i="1" s="1"/>
  <c r="G47" i="1"/>
  <c r="G43" i="1"/>
  <c r="G46" i="1"/>
  <c r="G44" i="1" l="1"/>
  <c r="G45" i="1" s="1"/>
</calcChain>
</file>

<file path=xl/sharedStrings.xml><?xml version="1.0" encoding="utf-8"?>
<sst xmlns="http://schemas.openxmlformats.org/spreadsheetml/2006/main" count="40" uniqueCount="35">
  <si>
    <t>QUALCOMM (QCOM) - DCF Model</t>
  </si>
  <si>
    <t>All figures $B unless noted</t>
  </si>
  <si>
    <t>Historicals (source: SEC EDGAR 10-Ks)</t>
  </si>
  <si>
    <t>Fiscal Year</t>
  </si>
  <si>
    <t>Revenue</t>
  </si>
  <si>
    <t>Operating Income</t>
  </si>
  <si>
    <t>Operating Margin</t>
  </si>
  <si>
    <t>D&amp;A</t>
  </si>
  <si>
    <t>Capex</t>
  </si>
  <si>
    <t>Assumptions</t>
  </si>
  <si>
    <t>Case</t>
  </si>
  <si>
    <t>Bear</t>
  </si>
  <si>
    <t>Base</t>
  </si>
  <si>
    <t>Bull</t>
  </si>
  <si>
    <t>Rev growth Y1</t>
  </si>
  <si>
    <t>Rev growth Y2</t>
  </si>
  <si>
    <t>Rev growth Y3</t>
  </si>
  <si>
    <t>Rev growth Y4</t>
  </si>
  <si>
    <t>Rev growth Y5</t>
  </si>
  <si>
    <t>Tax Rate</t>
  </si>
  <si>
    <t>Capex % of Revenue</t>
  </si>
  <si>
    <t>D%A % of Revenue</t>
  </si>
  <si>
    <t>Selected Case</t>
  </si>
  <si>
    <t>Active Assumptions</t>
  </si>
  <si>
    <t>Projection</t>
  </si>
  <si>
    <t>Revenue Growth</t>
  </si>
  <si>
    <t>Operating Income (EBIT)</t>
  </si>
  <si>
    <t>Less: Taxes</t>
  </si>
  <si>
    <t>NOPAT</t>
  </si>
  <si>
    <t>Add: D&amp;A</t>
  </si>
  <si>
    <t>Less: Capex</t>
  </si>
  <si>
    <t>FCF</t>
  </si>
  <si>
    <t>NWC</t>
  </si>
  <si>
    <t>NWC % of Revenue</t>
  </si>
  <si>
    <t xml:space="preserve">Less: Change in NWC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</si>
</sst>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10" fontId="0" fillId="0" borderId="0" xfId="1" applyNumberFormat="1" applyFont="1"/>
    <xf numFmtId="9" fontId="0" fillId="0" borderId="0" xfId="0" applyNumberFormat="1"/>
    <xf numFmtId="0" fontId="0" fillId="2" borderId="0" xfId="0" applyFill="1"/>
    <xf numFmtId="2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581F-07E8-4A9E-B536-2BF084D7454F}">
  <dimension ref="A1:G49"/>
  <sheetViews>
    <sheetView tabSelected="1" topLeftCell="A43" zoomScaleNormal="100" workbookViewId="0">
      <selection activeCell="N48" sqref="N48"/>
    </sheetView>
  </sheetViews>
  <sheetFormatPr defaultRowHeight="15" x14ac:dyDescent="0.25"/>
  <cols>
    <col min="1" max="1" width="34.7109375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4" spans="1:6" x14ac:dyDescent="0.25">
      <c r="A4" t="s">
        <v>2</v>
      </c>
    </row>
    <row r="5" spans="1:6" x14ac:dyDescent="0.25">
      <c r="A5" t="s">
        <v>3</v>
      </c>
      <c r="C5">
        <v>2022</v>
      </c>
      <c r="D5">
        <f>C5+1</f>
        <v>2023</v>
      </c>
      <c r="E5">
        <f t="shared" ref="E5:F5" si="0">D5+1</f>
        <v>2024</v>
      </c>
      <c r="F5">
        <f t="shared" si="0"/>
        <v>2025</v>
      </c>
    </row>
    <row r="6" spans="1:6" x14ac:dyDescent="0.25">
      <c r="A6" t="s">
        <v>4</v>
      </c>
      <c r="C6">
        <v>44.2</v>
      </c>
      <c r="D6">
        <v>35.82</v>
      </c>
      <c r="E6">
        <v>38.96</v>
      </c>
      <c r="F6">
        <v>44.28</v>
      </c>
    </row>
    <row r="7" spans="1:6" x14ac:dyDescent="0.25">
      <c r="A7" t="s">
        <v>5</v>
      </c>
      <c r="C7">
        <v>15.86</v>
      </c>
      <c r="D7">
        <v>7.79</v>
      </c>
      <c r="E7">
        <v>10.07</v>
      </c>
      <c r="F7">
        <v>12.36</v>
      </c>
    </row>
    <row r="8" spans="1:6" x14ac:dyDescent="0.25">
      <c r="A8" t="s">
        <v>6</v>
      </c>
      <c r="C8" s="2">
        <f>C7/C6</f>
        <v>0.35882352941176465</v>
      </c>
      <c r="D8" s="2">
        <f t="shared" ref="D8:F8" si="1">D7/D6</f>
        <v>0.21747627024008934</v>
      </c>
      <c r="E8" s="2">
        <f t="shared" si="1"/>
        <v>0.25847022587268992</v>
      </c>
      <c r="F8" s="2">
        <f t="shared" si="1"/>
        <v>0.27913279132791324</v>
      </c>
    </row>
    <row r="9" spans="1:6" x14ac:dyDescent="0.25">
      <c r="A9" t="s">
        <v>7</v>
      </c>
      <c r="C9">
        <v>1.76</v>
      </c>
      <c r="D9">
        <v>1.81</v>
      </c>
      <c r="E9">
        <v>1.71</v>
      </c>
      <c r="F9">
        <v>1.6</v>
      </c>
    </row>
    <row r="10" spans="1:6" x14ac:dyDescent="0.25">
      <c r="A10" t="s">
        <v>8</v>
      </c>
      <c r="C10">
        <v>2.2599999999999998</v>
      </c>
      <c r="D10">
        <v>1.45</v>
      </c>
      <c r="E10">
        <v>1.04</v>
      </c>
      <c r="F10">
        <v>1.19</v>
      </c>
    </row>
    <row r="11" spans="1:6" x14ac:dyDescent="0.25">
      <c r="A11" t="s">
        <v>32</v>
      </c>
      <c r="C11">
        <v>4.88</v>
      </c>
      <c r="D11">
        <v>4.13</v>
      </c>
      <c r="E11">
        <v>3.88</v>
      </c>
      <c r="F11">
        <v>5.15</v>
      </c>
    </row>
    <row r="13" spans="1:6" x14ac:dyDescent="0.25">
      <c r="A13" t="s">
        <v>9</v>
      </c>
    </row>
    <row r="14" spans="1:6" x14ac:dyDescent="0.25">
      <c r="A14" t="s">
        <v>10</v>
      </c>
      <c r="C14" t="s">
        <v>11</v>
      </c>
      <c r="D14" t="s">
        <v>12</v>
      </c>
      <c r="E14" t="s">
        <v>13</v>
      </c>
    </row>
    <row r="15" spans="1:6" x14ac:dyDescent="0.25">
      <c r="A15" t="s">
        <v>14</v>
      </c>
      <c r="C15" s="3">
        <v>0</v>
      </c>
      <c r="D15" s="3">
        <v>0.02</v>
      </c>
      <c r="E15" s="3">
        <v>0.06</v>
      </c>
    </row>
    <row r="16" spans="1:6" x14ac:dyDescent="0.25">
      <c r="A16" t="s">
        <v>15</v>
      </c>
      <c r="C16" s="3">
        <v>0</v>
      </c>
      <c r="D16" s="3">
        <v>0.02</v>
      </c>
      <c r="E16" s="3">
        <v>0.06</v>
      </c>
    </row>
    <row r="17" spans="1:5" x14ac:dyDescent="0.25">
      <c r="A17" t="s">
        <v>16</v>
      </c>
      <c r="C17" s="3">
        <v>-0.01</v>
      </c>
      <c r="D17" s="3">
        <v>0.02</v>
      </c>
      <c r="E17" s="3">
        <v>0.05</v>
      </c>
    </row>
    <row r="18" spans="1:5" x14ac:dyDescent="0.25">
      <c r="A18" t="s">
        <v>17</v>
      </c>
      <c r="C18" s="3">
        <v>-0.01</v>
      </c>
      <c r="D18" s="3">
        <v>0.02</v>
      </c>
      <c r="E18" s="3">
        <v>0.04</v>
      </c>
    </row>
    <row r="19" spans="1:5" x14ac:dyDescent="0.25">
      <c r="A19" t="s">
        <v>18</v>
      </c>
      <c r="C19" s="3">
        <v>-0.01</v>
      </c>
      <c r="D19" s="3">
        <v>0.02</v>
      </c>
      <c r="E19" s="3">
        <v>0.04</v>
      </c>
    </row>
    <row r="20" spans="1:5" x14ac:dyDescent="0.25">
      <c r="A20" t="s">
        <v>6</v>
      </c>
      <c r="C20" s="3">
        <v>0.26</v>
      </c>
      <c r="D20" s="3">
        <v>0.28000000000000003</v>
      </c>
      <c r="E20" s="3">
        <v>0.3</v>
      </c>
    </row>
    <row r="21" spans="1:5" x14ac:dyDescent="0.25">
      <c r="A21" t="s">
        <v>19</v>
      </c>
      <c r="C21" s="3">
        <v>0.14000000000000001</v>
      </c>
      <c r="D21" s="3">
        <f t="shared" ref="D21:E22" si="2">C21</f>
        <v>0.14000000000000001</v>
      </c>
      <c r="E21" s="3">
        <f t="shared" si="2"/>
        <v>0.14000000000000001</v>
      </c>
    </row>
    <row r="22" spans="1:5" x14ac:dyDescent="0.25">
      <c r="A22" t="s">
        <v>20</v>
      </c>
      <c r="C22" s="1">
        <f>3%</f>
        <v>0.03</v>
      </c>
      <c r="D22" s="1">
        <f t="shared" si="2"/>
        <v>0.03</v>
      </c>
      <c r="E22" s="1">
        <f t="shared" si="2"/>
        <v>0.03</v>
      </c>
    </row>
    <row r="23" spans="1:5" x14ac:dyDescent="0.25">
      <c r="A23" t="s">
        <v>21</v>
      </c>
      <c r="C23" s="6">
        <f>F9/F6</f>
        <v>3.6133694670280034E-2</v>
      </c>
      <c r="D23" s="6">
        <f>C23</f>
        <v>3.6133694670280034E-2</v>
      </c>
      <c r="E23" s="6">
        <f>C23</f>
        <v>3.6133694670280034E-2</v>
      </c>
    </row>
    <row r="24" spans="1:5" x14ac:dyDescent="0.25">
      <c r="A24" t="s">
        <v>33</v>
      </c>
      <c r="C24" s="6">
        <f>$F$11/$F$6</f>
        <v>0.11630532971996387</v>
      </c>
      <c r="D24" s="6">
        <f t="shared" ref="D24:E24" si="3">$F$11/$F$6</f>
        <v>0.11630532971996387</v>
      </c>
      <c r="E24" s="6">
        <f t="shared" si="3"/>
        <v>0.11630532971996387</v>
      </c>
    </row>
    <row r="26" spans="1:5" x14ac:dyDescent="0.25">
      <c r="A26" t="s">
        <v>22</v>
      </c>
      <c r="C26" s="4" t="s">
        <v>12</v>
      </c>
    </row>
    <row r="27" spans="1:5" x14ac:dyDescent="0.25">
      <c r="A27" t="s">
        <v>23</v>
      </c>
    </row>
    <row r="28" spans="1:5" x14ac:dyDescent="0.25">
      <c r="A28" t="s">
        <v>14</v>
      </c>
      <c r="C28" s="1">
        <f t="shared" ref="C28:C37" si="4">INDEX($C15:$E15, MATCH($C$26, $C$14:$E$14, 0))</f>
        <v>0.02</v>
      </c>
    </row>
    <row r="29" spans="1:5" x14ac:dyDescent="0.25">
      <c r="A29" t="str">
        <f>A16</f>
        <v>Rev growth Y2</v>
      </c>
      <c r="C29" s="1">
        <f t="shared" si="4"/>
        <v>0.02</v>
      </c>
    </row>
    <row r="30" spans="1:5" x14ac:dyDescent="0.25">
      <c r="A30" t="str">
        <f t="shared" ref="A30:A35" si="5">A17</f>
        <v>Rev growth Y3</v>
      </c>
      <c r="C30" s="1">
        <f t="shared" si="4"/>
        <v>0.02</v>
      </c>
    </row>
    <row r="31" spans="1:5" x14ac:dyDescent="0.25">
      <c r="A31" t="str">
        <f t="shared" si="5"/>
        <v>Rev growth Y4</v>
      </c>
      <c r="C31" s="1">
        <f t="shared" si="4"/>
        <v>0.02</v>
      </c>
    </row>
    <row r="32" spans="1:5" x14ac:dyDescent="0.25">
      <c r="A32" t="str">
        <f t="shared" si="5"/>
        <v>Rev growth Y5</v>
      </c>
      <c r="C32" s="1">
        <f t="shared" si="4"/>
        <v>0.02</v>
      </c>
    </row>
    <row r="33" spans="1:7" x14ac:dyDescent="0.25">
      <c r="A33" t="str">
        <f t="shared" si="5"/>
        <v>Operating Margin</v>
      </c>
      <c r="C33" s="1">
        <f t="shared" si="4"/>
        <v>0.28000000000000003</v>
      </c>
    </row>
    <row r="34" spans="1:7" x14ac:dyDescent="0.25">
      <c r="A34" t="str">
        <f t="shared" si="5"/>
        <v>Tax Rate</v>
      </c>
      <c r="C34" s="1">
        <f t="shared" si="4"/>
        <v>0.14000000000000001</v>
      </c>
    </row>
    <row r="35" spans="1:7" x14ac:dyDescent="0.25">
      <c r="A35" t="str">
        <f t="shared" si="5"/>
        <v>Capex % of Revenue</v>
      </c>
      <c r="C35" s="1">
        <f t="shared" si="4"/>
        <v>0.03</v>
      </c>
    </row>
    <row r="36" spans="1:7" x14ac:dyDescent="0.25">
      <c r="A36" t="str">
        <f>A23</f>
        <v>D%A % of Revenue</v>
      </c>
      <c r="C36" s="6">
        <f t="shared" si="4"/>
        <v>3.6133694670280034E-2</v>
      </c>
    </row>
    <row r="37" spans="1:7" x14ac:dyDescent="0.25">
      <c r="A37" t="str">
        <f>A24</f>
        <v>NWC % of Revenue</v>
      </c>
      <c r="C37" s="6">
        <f t="shared" si="4"/>
        <v>0.11630532971996387</v>
      </c>
    </row>
    <row r="39" spans="1:7" x14ac:dyDescent="0.25">
      <c r="A39" t="s">
        <v>24</v>
      </c>
    </row>
    <row r="40" spans="1:7" x14ac:dyDescent="0.25">
      <c r="A40" t="s">
        <v>3</v>
      </c>
      <c r="C40">
        <v>2026</v>
      </c>
      <c r="D40">
        <v>2027</v>
      </c>
      <c r="E40">
        <v>2028</v>
      </c>
      <c r="F40">
        <v>2029</v>
      </c>
      <c r="G40">
        <v>2030</v>
      </c>
    </row>
    <row r="41" spans="1:7" x14ac:dyDescent="0.25">
      <c r="A41" t="s">
        <v>4</v>
      </c>
      <c r="C41" s="5">
        <f>F6*(1+C42)</f>
        <v>45.165600000000005</v>
      </c>
      <c r="D41" s="5">
        <f>C41*(1+D42)</f>
        <v>46.068912000000005</v>
      </c>
      <c r="E41" s="5">
        <f t="shared" ref="E41:F41" si="6">D41*(1+E42)</f>
        <v>46.990290240000007</v>
      </c>
      <c r="F41" s="5">
        <f t="shared" si="6"/>
        <v>47.93009604480001</v>
      </c>
      <c r="G41" s="5">
        <f>F41*(1+G42)</f>
        <v>48.888697965696011</v>
      </c>
    </row>
    <row r="42" spans="1:7" x14ac:dyDescent="0.25">
      <c r="A42" t="s">
        <v>25</v>
      </c>
      <c r="C42" s="3">
        <f>$C$28</f>
        <v>0.02</v>
      </c>
      <c r="D42" s="3">
        <f>$C$29</f>
        <v>0.02</v>
      </c>
      <c r="E42" s="3">
        <f>$C$30</f>
        <v>0.02</v>
      </c>
      <c r="F42" s="3">
        <f>$C$31</f>
        <v>0.02</v>
      </c>
      <c r="G42" s="3">
        <f>$C$32</f>
        <v>0.02</v>
      </c>
    </row>
    <row r="43" spans="1:7" x14ac:dyDescent="0.25">
      <c r="A43" t="s">
        <v>26</v>
      </c>
      <c r="C43" s="5">
        <f>C41*$C$33</f>
        <v>12.646368000000002</v>
      </c>
      <c r="D43" s="5">
        <f t="shared" ref="D43:G43" si="7">D41*$C$33</f>
        <v>12.899295360000002</v>
      </c>
      <c r="E43" s="5">
        <f t="shared" si="7"/>
        <v>13.157281267200004</v>
      </c>
      <c r="F43" s="5">
        <f t="shared" si="7"/>
        <v>13.420426892544004</v>
      </c>
      <c r="G43" s="5">
        <f t="shared" si="7"/>
        <v>13.688835430394885</v>
      </c>
    </row>
    <row r="44" spans="1:7" x14ac:dyDescent="0.25">
      <c r="A44" t="s">
        <v>27</v>
      </c>
      <c r="C44" s="5">
        <f>C43*$C$34</f>
        <v>1.7704915200000004</v>
      </c>
      <c r="D44" s="5">
        <f t="shared" ref="D44:G44" si="8">D43*$C$34</f>
        <v>1.8059013504000003</v>
      </c>
      <c r="E44" s="5">
        <f t="shared" si="8"/>
        <v>1.8420193774080007</v>
      </c>
      <c r="F44" s="5">
        <f t="shared" si="8"/>
        <v>1.8788597649561607</v>
      </c>
      <c r="G44" s="5">
        <f t="shared" si="8"/>
        <v>1.9164369602552842</v>
      </c>
    </row>
    <row r="45" spans="1:7" x14ac:dyDescent="0.25">
      <c r="A45" t="s">
        <v>28</v>
      </c>
      <c r="C45" s="5">
        <f>C43-C44</f>
        <v>10.875876480000002</v>
      </c>
      <c r="D45" s="5">
        <f t="shared" ref="D45:G45" si="9">D43-D44</f>
        <v>11.093394009600001</v>
      </c>
      <c r="E45" s="5">
        <f t="shared" si="9"/>
        <v>11.315261889792003</v>
      </c>
      <c r="F45" s="5">
        <f t="shared" si="9"/>
        <v>11.541567127587843</v>
      </c>
      <c r="G45" s="5">
        <f t="shared" si="9"/>
        <v>11.772398470139601</v>
      </c>
    </row>
    <row r="46" spans="1:7" x14ac:dyDescent="0.25">
      <c r="A46" t="s">
        <v>29</v>
      </c>
      <c r="C46" s="5">
        <f>C41*$C$36</f>
        <v>1.6320000000000001</v>
      </c>
      <c r="D46" s="5">
        <f t="shared" ref="D46:G46" si="10">D41*$C$36</f>
        <v>1.6646400000000001</v>
      </c>
      <c r="E46" s="5">
        <f t="shared" si="10"/>
        <v>1.6979328000000002</v>
      </c>
      <c r="F46" s="5">
        <f t="shared" si="10"/>
        <v>1.7318914560000003</v>
      </c>
      <c r="G46" s="5">
        <f t="shared" si="10"/>
        <v>1.7665292851200003</v>
      </c>
    </row>
    <row r="47" spans="1:7" x14ac:dyDescent="0.25">
      <c r="A47" t="s">
        <v>30</v>
      </c>
      <c r="C47" s="5">
        <f>C41*$C$35</f>
        <v>1.3549680000000002</v>
      </c>
      <c r="D47" s="5">
        <f t="shared" ref="D47:G47" si="11">D41*$C$35</f>
        <v>1.3820673600000002</v>
      </c>
      <c r="E47" s="5">
        <f t="shared" si="11"/>
        <v>1.4097087072000001</v>
      </c>
      <c r="F47" s="5">
        <f t="shared" si="11"/>
        <v>1.4379028813440002</v>
      </c>
      <c r="G47" s="5">
        <f t="shared" si="11"/>
        <v>1.4666609389708802</v>
      </c>
    </row>
    <row r="48" spans="1:7" x14ac:dyDescent="0.25">
      <c r="A48" t="s">
        <v>34</v>
      </c>
      <c r="C48" s="5">
        <f>C37*(C41-F6)</f>
        <v>0.10300000000000042</v>
      </c>
      <c r="D48" s="5">
        <f>$C$37*(D41-C41)</f>
        <v>0.10505999999999996</v>
      </c>
      <c r="E48" s="5">
        <f t="shared" ref="E48:G48" si="12">$C$37*(E41-D41)</f>
        <v>0.10716120000000032</v>
      </c>
      <c r="F48" s="5">
        <f t="shared" si="12"/>
        <v>0.10930442400000027</v>
      </c>
      <c r="G48" s="5">
        <f t="shared" si="12"/>
        <v>0.11149051248000012</v>
      </c>
    </row>
    <row r="49" spans="1:7" x14ac:dyDescent="0.25">
      <c r="A49" t="s">
        <v>31</v>
      </c>
      <c r="C49" s="5">
        <f>C45+C46-C47-C48</f>
        <v>11.049908480000003</v>
      </c>
      <c r="D49" s="5">
        <f t="shared" ref="D49:G49" si="13">D45+D46-D47-D48</f>
        <v>11.270906649600001</v>
      </c>
      <c r="E49" s="5">
        <f t="shared" si="13"/>
        <v>11.496324782592003</v>
      </c>
      <c r="F49" s="5">
        <f t="shared" si="13"/>
        <v>11.726251278243844</v>
      </c>
      <c r="G49" s="5">
        <f t="shared" si="13"/>
        <v>11.960776303808721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Kaundinya, Agnivesh</dc:creator>
  <cp:lastModifiedBy>Kaundinya, Agnivesh</cp:lastModifiedBy>
  <dcterms:created xsi:type="dcterms:W3CDTF">2026-07-10T19:54:35Z</dcterms:created>
  <dcterms:modified xsi:type="dcterms:W3CDTF">2026-07-11T20:11:21Z</dcterms:modified>
</cp:coreProperties>
</file>